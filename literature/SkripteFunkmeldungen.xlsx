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brnrl-my.sharepoint.com/personal/brunnrol_brnrl_ch/Documents/Feuerwehr/Studentenprojekt ZHAW/"/>
    </mc:Choice>
  </mc:AlternateContent>
  <xr:revisionPtr revIDLastSave="277" documentId="8_{75E3DCAC-B297-4821-825C-4B23A6547E57}" xr6:coauthVersionLast="47" xr6:coauthVersionMax="47" xr10:uidLastSave="{DFF90F82-7639-4C5B-9DD4-8A9877BB3430}"/>
  <bookViews>
    <workbookView xWindow="51210" yWindow="1245" windowWidth="25590" windowHeight="19635" xr2:uid="{D572EDBC-887D-42D3-A927-415D9F13E1A3}"/>
  </bookViews>
  <sheets>
    <sheet name="Brand Wohnu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1" i="1" l="1"/>
  <c r="C92" i="1"/>
  <c r="C93" i="1"/>
  <c r="C94" i="1"/>
  <c r="C95" i="1"/>
  <c r="C96" i="1"/>
  <c r="C97" i="1"/>
  <c r="C98" i="1"/>
  <c r="C99" i="1"/>
  <c r="C100" i="1"/>
  <c r="C101" i="1"/>
  <c r="C102" i="1"/>
  <c r="C103" i="1"/>
  <c r="C104" i="1"/>
  <c r="C105" i="1"/>
  <c r="C106" i="1"/>
  <c r="C107" i="1"/>
  <c r="C108" i="1"/>
  <c r="C109" i="1"/>
  <c r="C110" i="1"/>
  <c r="C111" i="1"/>
  <c r="C112" i="1"/>
  <c r="C113" i="1"/>
  <c r="C114" i="1"/>
  <c r="C115" i="1"/>
  <c r="C116" i="1" s="1"/>
  <c r="C117" i="1" s="1"/>
  <c r="A91" i="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C3" i="1"/>
  <c r="C4" i="1" s="1"/>
  <c r="C5" i="1" s="1"/>
  <c r="C6" i="1" s="1"/>
  <c r="C7" i="1" s="1"/>
  <c r="C8" i="1" s="1"/>
  <c r="C9" i="1" s="1"/>
  <c r="C10" i="1" s="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s="1"/>
  <c r="C88" i="1" s="1"/>
  <c r="C89" i="1" s="1"/>
  <c r="C90" i="1" s="1"/>
  <c r="A2" i="1"/>
  <c r="A3" i="1" s="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30" i="1" l="1"/>
</calcChain>
</file>

<file path=xl/sharedStrings.xml><?xml version="1.0" encoding="utf-8"?>
<sst xmlns="http://schemas.openxmlformats.org/spreadsheetml/2006/main" count="125" uniqueCount="113">
  <si>
    <t>Zeit</t>
  </si>
  <si>
    <t>Meldung</t>
  </si>
  <si>
    <t>Dauer</t>
  </si>
  <si>
    <t xml:space="preserve">Alarmstelle Zuger Polizei,  BMA , Zugerbergstrasse 12A, Zug 10 </t>
  </si>
  <si>
    <t>Kolin 7 rückt aus</t>
  </si>
  <si>
    <t>Kolin 6 rückt aus, ein Offizier, ein Trupp Atemschutz</t>
  </si>
  <si>
    <t>Kolin 1 rückt aus, zwei Rettungsfahrer</t>
  </si>
  <si>
    <t>Kolin 20 besetzt</t>
  </si>
  <si>
    <t>Kolin 20 von Kolin 7, antworten</t>
  </si>
  <si>
    <t>Kolin 7 von 20, verstanden, antworten</t>
  </si>
  <si>
    <t>Bemerkung</t>
  </si>
  <si>
    <t>Verstanden, Einsatzstufe auf Brand Mittel via ZuPo eskalieren, antworten</t>
  </si>
  <si>
    <t>Verstanden, Einsatz bei ZuPo auf Brand Mittel eskalieren, antworten</t>
  </si>
  <si>
    <t>Verstanden Richtig, Schluss</t>
  </si>
  <si>
    <t>Kolin 6 im Warteraum</t>
  </si>
  <si>
    <t>Kolin 11 rückt aus 4 AdF Atemschutz, 1 Offizier</t>
  </si>
  <si>
    <t>Kolin 6 von Kolin 7, vorziehen auf Parkplatz oberhalb Pulverturm</t>
  </si>
  <si>
    <t>Verstanden, ziehen vor auf Parkplatz oberhalb Pulverturm, antworten</t>
  </si>
  <si>
    <t>Richtig, Schluss</t>
  </si>
  <si>
    <t>Kolin 1 von Kolin 7, antworten</t>
  </si>
  <si>
    <t>Kolin 7 von 1, verstanden, antworten</t>
  </si>
  <si>
    <t>Verstanden, Anleiterbereitschaft auf Zugerbergstrasse erstellen</t>
  </si>
  <si>
    <t>Kolin 1 verstanden, erstellen Anleiterbereitschaft auf Zugerbergstrasse, antworten</t>
  </si>
  <si>
    <t>Kolin 9 rückt aus, 3 AdF FUST</t>
  </si>
  <si>
    <t>Kolin 153 von Kolin 7, antworten</t>
  </si>
  <si>
    <t>Offizier auf Kolin 6 von Kolin 7, antworten</t>
  </si>
  <si>
    <t>Kolin 153 verstanden, antworten</t>
  </si>
  <si>
    <t>Kolin 7 vor Ort, Feststellung schwarzer Rauch aus Fenster 1. Stock</t>
  </si>
  <si>
    <t>Verstanden, Vermuteter Brand Pulverturm, ich will Informationen zum Zustand im Gebäude. Dein Auftrag Verantwortungsbereich im Haus. Mein Standort Pfarreiheim St Michael.</t>
  </si>
  <si>
    <t>Verstanden, Auftrag VB im Haus, gehe auf Reko mit dem ersten Trupp AS und Schnellangriff 40 ab TLF, antworten</t>
  </si>
  <si>
    <t>Verstanden, in Ordnung, Schluss</t>
  </si>
  <si>
    <t>Kolin 11 im Warteraum</t>
  </si>
  <si>
    <t>Kolin 11 von Kolin 7, vorziehen, Mannschaft abladen und retour ins FwG für Shuttle Service</t>
  </si>
  <si>
    <t>Kolin 19, rückt aus 3 AdF VD, 1 Of VD</t>
  </si>
  <si>
    <t>Verstanden, Lade Manschaft aus und nehme Shuttle Service auf.</t>
  </si>
  <si>
    <t>7 von 153, verstanden, antworten</t>
  </si>
  <si>
    <t>Verstanden, gemäss Aussage des Mieters der Location sind keine weiteren Personen im Gebäude. Brand sei in der Küche entstanden, antworten</t>
  </si>
  <si>
    <t>Verstanden, keine Personen mehr im Gebäude, Brandort in Küche, antworten</t>
  </si>
  <si>
    <t>Verstanden, richtig. Hast du Informationen zur Lage im Gebäude? Antworten</t>
  </si>
  <si>
    <t>Kolin 151 mit Trupp macht Einsatz und rückt zur Reko ins Gebäude vor.</t>
  </si>
  <si>
    <t xml:space="preserve">Verstanden, ja, Rauchentwicklung aus Küche, dichter Rauch bis auf Kopfhöhe, welcher durch das Treppenhaus aufsteigt und im 1. Stock durch eine offen blockierte Türe in den Raum und durch das offene Fenster abzieht. Türen auf oberen Stockwerken sind geschlossen. Wir haben als sofortmassnahme die Türen zu Küche und im 1. OG geschlossen und rücken nun vor zur Brandstelle in der Küche vor. Kannst du uns noch einen Rauchvorhang zum Eingang schicken? </t>
  </si>
  <si>
    <t>Verstanden, verrauchtes Treppenhaus und Rauch im Zimmer 1. Stock. Offene Türen wurden durch euch geschlossen. Ihr fordert einen Rauchvorhang zum Eingang an. Ich schicke euch den. Antworten</t>
  </si>
  <si>
    <t>Verstanden, richtig, Antworten</t>
  </si>
  <si>
    <t>Schluss</t>
  </si>
  <si>
    <t>Kolin 9 im Warteraum</t>
  </si>
  <si>
    <t>Kolin 9 von 7, vorziehen und einrichten Pfarreiheim St. Michael.</t>
  </si>
  <si>
    <t>Kolin 9 verstanden</t>
  </si>
  <si>
    <t>Kolin 7 von 153, antworten</t>
  </si>
  <si>
    <t>7 verstanden antworten</t>
  </si>
  <si>
    <t>Verstanden, Brand Ursache: PET Entsorgungssack auf heisser Herdplatte. Brand konnte abgelöscht werden.</t>
  </si>
  <si>
    <t>Vertanden, Brand gelöscht, Ursache PET Entsorgungsack auf heisser Herdplatte. Antworten</t>
  </si>
  <si>
    <t>Kolin 19 von 7, antworten</t>
  </si>
  <si>
    <t>19 verstanden, antworten</t>
  </si>
  <si>
    <t>Verstanden, der Offizier bei euch auf dem Fahrzeug erhält den Auftrag VB Verkehr,Lage: Brand Pulverturm unter Kontrolle, Ich will die Zugerbergstrasse zwischen Grabenstrasse und Pfarreiheim St Michael sperren und den Verkehr umleiten. Auftrag: Erstellen der Umleitung gem Auftrag VB Verkehr, antworten</t>
  </si>
  <si>
    <t>Kolin 143 verstanden, mein Auftrag VB Verkehr. Ich erstelle eine Strassensperrung der Zugerbergstrasse zwischen Grabenstrasse und Pfarreiheim St Michel., Antworten.</t>
  </si>
  <si>
    <t>Korrekt, Schluss</t>
  </si>
  <si>
    <t>7 von 20 verstanden, antworten</t>
  </si>
  <si>
    <t>Verstanden, keine weiteren Mittel ausrücken lassen. Antworten</t>
  </si>
  <si>
    <t>Vertanden, halten alle weiteren Mittel zurück. Antworten.</t>
  </si>
  <si>
    <t>An alle Kolin von Kolin 7, Einsatzleitung ab Sofort via Kolin 9</t>
  </si>
  <si>
    <t>An alle VB von Kolin 9, Rapport um 18:30</t>
  </si>
  <si>
    <t>Kolin 9 von 153, antworten</t>
  </si>
  <si>
    <t>153 von 9, verstanden, Antworten</t>
  </si>
  <si>
    <t>verstanden, wir beginnen mit den Entrauchungarbeiten. Schaffen im Treppenhaus im 4 OG und im Brandraum Abluftöffnungen. Bitte sendet uns einen Benzin und einen Akkulüfter. Ist dieser Plan für den Einsatzleiter in Ordnung? Antworten</t>
  </si>
  <si>
    <t>Verstanden, ja dieser Plan ist in Ordnung. Wir schicken euch einen Benzin und einen Akkulüfter. Rapport 18:30 hast du auf dem Radar. Antworten</t>
  </si>
  <si>
    <t>Verstanden, ja, habe ich auf dem Radar. Danke. Schluss</t>
  </si>
  <si>
    <t>Kolin 9 von 143, antworten</t>
  </si>
  <si>
    <t>143 von 9, verstanden, antworten.</t>
  </si>
  <si>
    <t>Verstanden, Strassensperrung Zugerbergstrasse vorgenommen. Verkehrsumleitung via Waldheimstrasse. Antworten</t>
  </si>
  <si>
    <t>(Audioaufzeichung des Rapports) Einsatzleiter Stellvertreter: Guten Abend
Ich begrüsse euch zum ersten Absprache Rapport. Wir beginnen mit der Lageorientierung durch den Einsatzleiter</t>
  </si>
  <si>
    <t>Einsatzleiter: Wir wurden alarmiert über die BMA des Pulverturms und haben bei eintreffen ein Rauchentwicklung festgestellt. Durch den Mieter des Lokals wurden wir informiert, dass keine weiteren Personen sich im Gebäude befinden. Ich habe beschlossen, dass ich 1. den Schadenplatz gegenüber dem Verkehr sichere, 2. die Rauchausbreitung im Gebäude einschränke, 3. die Brandbekämpfung vornehme, 4. den Verkehr umleite und 5. das Gebäude entrauche. Ich habe eingesetzt einen VB Im Haus mit Kolin 153 und einen VB Verkehr mit Kolin 143.</t>
  </si>
  <si>
    <t>Einsatzleiter Stellvertreter: Wir beginnen mit den Update auf den Verantwortungsbereichen. Im Haus:</t>
  </si>
  <si>
    <t>Einsatzleitzer Stellvertreter: Danke. Verkehr</t>
  </si>
  <si>
    <t>Kolin 153: Wir konnten die Rauchausbreitung im Haus eindämmen in dem wir die offenen Türen zur Küche umd zum Raum im 1. Stock geschlossen haben. Anschliessen haben mit Rauchvorhang und Schnellangriff 40 den Brand in der Küche rasch löschen. Aktuell sind wir daran das Gebäude über Abluftöffnungen im 4 Stock zu entrauchen.</t>
  </si>
  <si>
    <t>Kolin 143: Wir haben eine komplette Sperrung der Zugerbergstrasse und Pfarreiheim erstellt und ein Verkehrsumleitung via Waldheimstrasse eingerichtet. Aktuell ist das Verkehrsaufkommen verhältnismässig relativ gross und wir stellen Staubildung fest.</t>
  </si>
  <si>
    <t>Einsatzleitzer Stellvertreter: Danke. Rettungsdienst</t>
  </si>
  <si>
    <t>Rettungdienst: Wir sind mit einem Team vor Ort um allfällige Verletzungen der Rettungskräfte zu behandeln. Wir haben den Mieter kurz untersucht, konnten aber feststellen, dass er keine Rauchgase eingeatmet hat.</t>
  </si>
  <si>
    <t>Einsatzleitzer Stellvertreter: Danke. Polizei</t>
  </si>
  <si>
    <t>Polizist: Wir sind vor Ort und haben mit den Vernehmungen begonnen. Sobald die Räumlichkeiten für uns zugänglich sind, beginnen wir mit der Beweisaufnahme.</t>
  </si>
  <si>
    <t>Einsatzleitzer Stellvertreter: Danke. Wir kommen zu Anträgen. Wer hat Anträge.</t>
  </si>
  <si>
    <t>Polizei: Auf Grund der Verkehrslage würden wir gerne die Zugerbergstrasse für den Verkehr freigeben.</t>
  </si>
  <si>
    <t>Einsatzleiter: Danke. Ich berücksichtige das in meinem Entschluss</t>
  </si>
  <si>
    <t>Rettungsdienst: Da der Brand gelöscht ist, würden wir gerne unser Team abziehen und einrücken.</t>
  </si>
  <si>
    <t>Einsatzleiter Stellvertreter: Wir kommen zum Entschluss des Einsatzleiters</t>
  </si>
  <si>
    <t>Einsatzleiter: Danke. Da der Brand gelöscht ist und die Entrauchung soweit Fortgeschritten ist, können wir unser Dispositiv verkleinern. Rettungsdienst und Kolin 1 können einrücken. Die Zugerbergstrasse kann anschliessend für den Verkehr freigegeben und die Umleitung aufgehoben werden. Wir schliessen die Entrauchungsarbeiten ab und übergeben die Einsatzstelle nach Kontrollmessungen der Zuger Polizei.</t>
  </si>
  <si>
    <t>Einsatzleiter Stellvertreter: Wir kommen zur Umfrage. Keine Fragen. Gut. Nächster Rapport?</t>
  </si>
  <si>
    <t>Einsatzleiter: Es wird kein nächster Rapport notwendig sein.</t>
  </si>
  <si>
    <t>Einsatzleiter Stellvertreter: Danke für den Einsatz. Rapport beendet.</t>
  </si>
  <si>
    <t>Kolin 1 rückt ein</t>
  </si>
  <si>
    <t xml:space="preserve">Verstanden. Die Räume sind soweit rauchfrei. Könnt ihr mir die Messgeräte und das Messprotokoll für die Schlussmessungen schicken? Antworten </t>
  </si>
  <si>
    <t>Verstanden. Senden dir das Messprotokoll und die Messgeräte. Antworten.</t>
  </si>
  <si>
    <t>Richtig. Schluss</t>
  </si>
  <si>
    <t>Kolin 21 rückt aus mit Hygieneset Einsatzkleidung</t>
  </si>
  <si>
    <t>An alle Kolin von Kolin 9. Einsatzleitung ist wieder via Kolin 7.</t>
  </si>
  <si>
    <t>Kolin 9 Rückt ein.</t>
  </si>
  <si>
    <t>Kolin 21 vor Ort.</t>
  </si>
  <si>
    <t>Verstanden, Antworten</t>
  </si>
  <si>
    <t>Verstanden. Schlussmessungen sind negativ. Einsatzstelle kann der Polizei übergeben werden. Wir machen Rückzug. Antworten.</t>
  </si>
  <si>
    <t>Verstanden Schlussmessungen sind negativ. Antworten.</t>
  </si>
  <si>
    <t>Kolin 11 rückt ein</t>
  </si>
  <si>
    <t>Kolin 19 rückt ein</t>
  </si>
  <si>
    <t>Kolin 7 von 143, antworten</t>
  </si>
  <si>
    <t>Verstanden antworten.</t>
  </si>
  <si>
    <t>Verstanden, Umleitung und Strassensperrung sind aufgehoben.</t>
  </si>
  <si>
    <t>Verstanden, Verkehrsmassnahmen aufgehoben. Ihr könnt einrücken. Schluss</t>
  </si>
  <si>
    <t>Kolin 6 Rückt ein</t>
  </si>
  <si>
    <t>Kolin 21 rückt ein</t>
  </si>
  <si>
    <t>Kolin 7 rückt ein</t>
  </si>
  <si>
    <t>KI sollte hier feststellen, dass für dieses Objekt ein Plan besteht und diesen Auswerten</t>
  </si>
  <si>
    <t>Schlüsselmeldung: Vorfallart Brand</t>
  </si>
  <si>
    <t>Schlüsselmeldung: Aufgebot eskaliert</t>
  </si>
  <si>
    <t>Schlüsselmeldung: Keine Personen zu retten</t>
  </si>
  <si>
    <t>Schlüsselmeldung: Brand gelöscht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</si>
</sst>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5B77-BE06-441B-8BEA-046ABD461A51}">
  <dimension ref="A1:E125"/>
  <sheetViews>
    <sheetView tabSelected="1" topLeftCell="A70" workbookViewId="0">
      <selection activeCell="E96" sqref="E96"/>
    </sheetView>
  </sheetViews>
  <sheetFormatPr defaultRowHeight="15" x14ac:dyDescent="0.25"/>
  <cols>
    <col min="1" max="1" width="14.85546875" bestFit="1" customWidth="1"/>
    <col min="4" max="4" width="93.85546875" style="2" customWidth="1"/>
  </cols>
  <sheetData>
    <row r="1" spans="1:5" x14ac:dyDescent="0.25">
      <c r="A1" s="3" t="s">
        <v>0</v>
      </c>
      <c r="B1" s="3" t="s">
        <v>2</v>
      </c>
      <c r="C1" s="3"/>
      <c r="D1" s="4" t="s">
        <v>1</v>
      </c>
      <c r="E1" s="3" t="s">
        <v>10</v>
      </c>
    </row>
    <row r="2" spans="1:5" x14ac:dyDescent="0.25">
      <c r="A2" s="1">
        <f>DATEVALUE("18-01-2025")+TIME(18,3,0)</f>
        <v>45675.752083333333</v>
      </c>
      <c r="D2" s="2" t="s">
        <v>3</v>
      </c>
      <c r="E2" t="s">
        <v>108</v>
      </c>
    </row>
    <row r="3" spans="1:5" x14ac:dyDescent="0.25">
      <c r="A3" s="1">
        <f>A2+TIME(0,B3,0)</f>
        <v>45675.754166666666</v>
      </c>
      <c r="B3">
        <v>3</v>
      </c>
      <c r="C3">
        <f>C2+B3</f>
        <v>3</v>
      </c>
      <c r="D3" s="2" t="s">
        <v>4</v>
      </c>
    </row>
    <row r="4" spans="1:5" x14ac:dyDescent="0.25">
      <c r="A4" s="1">
        <f>A3+TIME(0,B4,0)</f>
        <v>45675.756944444445</v>
      </c>
      <c r="B4">
        <v>4</v>
      </c>
      <c r="C4">
        <f>C3+B4</f>
        <v>7</v>
      </c>
      <c r="D4" s="2" t="s">
        <v>5</v>
      </c>
    </row>
    <row r="5" spans="1:5" x14ac:dyDescent="0.25">
      <c r="A5" s="1">
        <f>A4+TIME(0,B5,0)</f>
        <v>45675.758333333331</v>
      </c>
      <c r="B5">
        <v>2</v>
      </c>
      <c r="C5">
        <f>C4+B5</f>
        <v>9</v>
      </c>
      <c r="D5" s="2" t="s">
        <v>6</v>
      </c>
    </row>
    <row r="6" spans="1:5" x14ac:dyDescent="0.25">
      <c r="A6" s="1">
        <f t="shared" ref="A6:A29" si="0">A5+TIME(0,B6,0)</f>
        <v>45675.758333333331</v>
      </c>
      <c r="B6">
        <v>0</v>
      </c>
      <c r="C6">
        <f>C5+B6</f>
        <v>9</v>
      </c>
      <c r="D6" s="2" t="s">
        <v>7</v>
      </c>
    </row>
    <row r="7" spans="1:5" x14ac:dyDescent="0.25">
      <c r="A7" s="1">
        <f t="shared" si="0"/>
        <v>45675.758333333331</v>
      </c>
      <c r="B7">
        <v>0</v>
      </c>
      <c r="C7">
        <f>C6+B7</f>
        <v>9</v>
      </c>
      <c r="D7" s="2" t="s">
        <v>27</v>
      </c>
      <c r="E7" t="s">
        <v>109</v>
      </c>
    </row>
    <row r="8" spans="1:5" x14ac:dyDescent="0.25">
      <c r="A8" s="1">
        <f t="shared" si="0"/>
        <v>45675.758333333331</v>
      </c>
      <c r="B8">
        <v>0</v>
      </c>
      <c r="C8">
        <f t="shared" ref="C8:C53" si="1">C7+B8</f>
        <v>9</v>
      </c>
      <c r="D8" s="2" t="s">
        <v>8</v>
      </c>
    </row>
    <row r="9" spans="1:5" x14ac:dyDescent="0.25">
      <c r="A9" s="1">
        <f t="shared" si="0"/>
        <v>45675.758333333331</v>
      </c>
      <c r="C9">
        <f t="shared" si="1"/>
        <v>9</v>
      </c>
      <c r="D9" s="2" t="s">
        <v>9</v>
      </c>
    </row>
    <row r="10" spans="1:5" x14ac:dyDescent="0.25">
      <c r="A10" s="1">
        <f t="shared" si="0"/>
        <v>45675.758333333331</v>
      </c>
      <c r="C10">
        <f t="shared" si="1"/>
        <v>9</v>
      </c>
      <c r="D10" s="2" t="s">
        <v>11</v>
      </c>
      <c r="E10" t="s">
        <v>110</v>
      </c>
    </row>
    <row r="11" spans="1:5" x14ac:dyDescent="0.25">
      <c r="A11" s="1">
        <f t="shared" si="0"/>
        <v>45675.758333333331</v>
      </c>
      <c r="C11">
        <f t="shared" si="1"/>
        <v>9</v>
      </c>
      <c r="D11" s="2" t="s">
        <v>12</v>
      </c>
    </row>
    <row r="12" spans="1:5" x14ac:dyDescent="0.25">
      <c r="A12" s="1">
        <f t="shared" si="0"/>
        <v>45675.758333333331</v>
      </c>
      <c r="C12">
        <f t="shared" si="1"/>
        <v>9</v>
      </c>
      <c r="D12" s="2" t="s">
        <v>13</v>
      </c>
    </row>
    <row r="13" spans="1:5" x14ac:dyDescent="0.25">
      <c r="A13" s="1">
        <f t="shared" si="0"/>
        <v>45675.759027777778</v>
      </c>
      <c r="B13">
        <v>1</v>
      </c>
      <c r="C13">
        <f t="shared" si="1"/>
        <v>10</v>
      </c>
      <c r="D13" s="2" t="s">
        <v>14</v>
      </c>
    </row>
    <row r="14" spans="1:5" x14ac:dyDescent="0.25">
      <c r="A14" s="1">
        <f t="shared" si="0"/>
        <v>45675.759027777778</v>
      </c>
      <c r="B14">
        <v>0</v>
      </c>
      <c r="C14">
        <f t="shared" si="1"/>
        <v>10</v>
      </c>
      <c r="D14" s="2" t="s">
        <v>15</v>
      </c>
    </row>
    <row r="15" spans="1:5" x14ac:dyDescent="0.25">
      <c r="A15" s="1">
        <f t="shared" si="0"/>
        <v>45675.759027777778</v>
      </c>
      <c r="B15">
        <v>0</v>
      </c>
      <c r="C15">
        <f t="shared" si="1"/>
        <v>10</v>
      </c>
      <c r="D15" s="2" t="s">
        <v>16</v>
      </c>
    </row>
    <row r="16" spans="1:5" x14ac:dyDescent="0.25">
      <c r="A16" s="1">
        <f t="shared" si="0"/>
        <v>45675.759027777778</v>
      </c>
      <c r="C16">
        <f t="shared" si="1"/>
        <v>10</v>
      </c>
      <c r="D16" s="2" t="s">
        <v>17</v>
      </c>
    </row>
    <row r="17" spans="1:4" x14ac:dyDescent="0.25">
      <c r="A17" s="1">
        <f t="shared" si="0"/>
        <v>45675.759027777778</v>
      </c>
      <c r="C17">
        <f t="shared" si="1"/>
        <v>10</v>
      </c>
      <c r="D17" s="2" t="s">
        <v>18</v>
      </c>
    </row>
    <row r="18" spans="1:4" x14ac:dyDescent="0.25">
      <c r="A18" s="1">
        <f t="shared" si="0"/>
        <v>45675.759027777778</v>
      </c>
      <c r="B18">
        <v>0</v>
      </c>
      <c r="C18">
        <f t="shared" si="1"/>
        <v>10</v>
      </c>
      <c r="D18" s="2" t="s">
        <v>19</v>
      </c>
    </row>
    <row r="19" spans="1:4" x14ac:dyDescent="0.25">
      <c r="A19" s="1">
        <f t="shared" si="0"/>
        <v>45675.759027777778</v>
      </c>
      <c r="C19">
        <f t="shared" si="1"/>
        <v>10</v>
      </c>
      <c r="D19" s="2" t="s">
        <v>20</v>
      </c>
    </row>
    <row r="20" spans="1:4" x14ac:dyDescent="0.25">
      <c r="A20" s="1">
        <f t="shared" si="0"/>
        <v>45675.759027777778</v>
      </c>
      <c r="C20">
        <f t="shared" si="1"/>
        <v>10</v>
      </c>
      <c r="D20" s="2" t="s">
        <v>21</v>
      </c>
    </row>
    <row r="21" spans="1:4" x14ac:dyDescent="0.25">
      <c r="A21" s="1">
        <f t="shared" si="0"/>
        <v>45675.759027777778</v>
      </c>
      <c r="C21">
        <f t="shared" si="1"/>
        <v>10</v>
      </c>
      <c r="D21" s="2" t="s">
        <v>22</v>
      </c>
    </row>
    <row r="22" spans="1:4" x14ac:dyDescent="0.25">
      <c r="A22" s="1">
        <f t="shared" si="0"/>
        <v>45675.759027777778</v>
      </c>
      <c r="C22">
        <f t="shared" si="1"/>
        <v>10</v>
      </c>
      <c r="D22" s="2" t="s">
        <v>18</v>
      </c>
    </row>
    <row r="23" spans="1:4" x14ac:dyDescent="0.25">
      <c r="A23" s="1">
        <f t="shared" si="0"/>
        <v>45675.759722222225</v>
      </c>
      <c r="B23">
        <v>1</v>
      </c>
      <c r="C23">
        <f t="shared" si="1"/>
        <v>11</v>
      </c>
      <c r="D23" s="2" t="s">
        <v>23</v>
      </c>
    </row>
    <row r="24" spans="1:4" x14ac:dyDescent="0.25">
      <c r="A24" s="1">
        <f t="shared" si="0"/>
        <v>45675.759722222225</v>
      </c>
      <c r="B24">
        <v>0</v>
      </c>
      <c r="C24">
        <f t="shared" si="1"/>
        <v>11</v>
      </c>
      <c r="D24" s="2" t="s">
        <v>33</v>
      </c>
    </row>
    <row r="25" spans="1:4" x14ac:dyDescent="0.25">
      <c r="A25" s="1">
        <f t="shared" si="0"/>
        <v>45675.759722222225</v>
      </c>
      <c r="B25">
        <v>0</v>
      </c>
      <c r="C25">
        <f t="shared" si="1"/>
        <v>11</v>
      </c>
      <c r="D25" s="2" t="s">
        <v>25</v>
      </c>
    </row>
    <row r="26" spans="1:4" x14ac:dyDescent="0.25">
      <c r="A26" s="1">
        <f t="shared" si="0"/>
        <v>45675.759722222225</v>
      </c>
      <c r="C26">
        <f t="shared" si="1"/>
        <v>11</v>
      </c>
      <c r="D26" s="2" t="s">
        <v>26</v>
      </c>
    </row>
    <row r="27" spans="1:4" ht="30" x14ac:dyDescent="0.25">
      <c r="A27" s="1">
        <f t="shared" si="0"/>
        <v>45675.759722222225</v>
      </c>
      <c r="C27">
        <f t="shared" si="1"/>
        <v>11</v>
      </c>
      <c r="D27" s="2" t="s">
        <v>28</v>
      </c>
    </row>
    <row r="28" spans="1:4" ht="30" x14ac:dyDescent="0.25">
      <c r="A28" s="1">
        <f t="shared" si="0"/>
        <v>45675.759722222225</v>
      </c>
      <c r="C28">
        <f t="shared" si="1"/>
        <v>11</v>
      </c>
      <c r="D28" s="2" t="s">
        <v>29</v>
      </c>
    </row>
    <row r="29" spans="1:4" x14ac:dyDescent="0.25">
      <c r="A29" s="1">
        <f t="shared" si="0"/>
        <v>45675.759722222225</v>
      </c>
      <c r="C29">
        <f t="shared" si="1"/>
        <v>11</v>
      </c>
      <c r="D29" s="2" t="s">
        <v>30</v>
      </c>
    </row>
    <row r="30" spans="1:4" x14ac:dyDescent="0.25">
      <c r="A30" s="1">
        <f t="shared" ref="A30" si="2">A29+TIME(0,B30,0)</f>
        <v>45675.761111111111</v>
      </c>
      <c r="B30">
        <v>2</v>
      </c>
      <c r="C30">
        <f t="shared" si="1"/>
        <v>13</v>
      </c>
      <c r="D30" s="2" t="s">
        <v>39</v>
      </c>
    </row>
    <row r="31" spans="1:4" x14ac:dyDescent="0.25">
      <c r="A31" s="1">
        <f>A29+TIME(0,B31,0)</f>
        <v>45675.760416666672</v>
      </c>
      <c r="B31">
        <v>1</v>
      </c>
      <c r="C31">
        <f t="shared" si="1"/>
        <v>14</v>
      </c>
      <c r="D31" s="2" t="s">
        <v>31</v>
      </c>
    </row>
    <row r="32" spans="1:4" x14ac:dyDescent="0.25">
      <c r="A32" s="1">
        <f t="shared" ref="A32:A53" si="3">A31+TIME(0,B32,0)</f>
        <v>45675.760416666672</v>
      </c>
      <c r="C32">
        <f t="shared" si="1"/>
        <v>14</v>
      </c>
      <c r="D32" s="2" t="s">
        <v>32</v>
      </c>
    </row>
    <row r="33" spans="1:5" x14ac:dyDescent="0.25">
      <c r="A33" s="1">
        <f t="shared" si="3"/>
        <v>45675.760416666672</v>
      </c>
      <c r="C33">
        <f t="shared" si="1"/>
        <v>14</v>
      </c>
      <c r="D33" s="2" t="s">
        <v>34</v>
      </c>
    </row>
    <row r="34" spans="1:5" x14ac:dyDescent="0.25">
      <c r="A34" s="1">
        <f t="shared" si="3"/>
        <v>45675.760416666672</v>
      </c>
      <c r="C34">
        <f t="shared" si="1"/>
        <v>14</v>
      </c>
      <c r="D34" s="2" t="s">
        <v>18</v>
      </c>
    </row>
    <row r="35" spans="1:5" x14ac:dyDescent="0.25">
      <c r="A35" s="1">
        <f t="shared" si="3"/>
        <v>45675.761111111118</v>
      </c>
      <c r="B35">
        <v>1</v>
      </c>
      <c r="C35">
        <f t="shared" si="1"/>
        <v>15</v>
      </c>
      <c r="D35" s="2" t="s">
        <v>24</v>
      </c>
    </row>
    <row r="36" spans="1:5" x14ac:dyDescent="0.25">
      <c r="A36" s="1">
        <f t="shared" si="3"/>
        <v>45675.761111111118</v>
      </c>
      <c r="C36">
        <f t="shared" si="1"/>
        <v>15</v>
      </c>
      <c r="D36" s="2" t="s">
        <v>35</v>
      </c>
    </row>
    <row r="37" spans="1:5" ht="30" x14ac:dyDescent="0.25">
      <c r="A37" s="1">
        <f t="shared" si="3"/>
        <v>45675.761111111118</v>
      </c>
      <c r="C37">
        <f t="shared" si="1"/>
        <v>15</v>
      </c>
      <c r="D37" s="2" t="s">
        <v>36</v>
      </c>
      <c r="E37" t="s">
        <v>111</v>
      </c>
    </row>
    <row r="38" spans="1:5" x14ac:dyDescent="0.25">
      <c r="A38" s="1">
        <f t="shared" si="3"/>
        <v>45675.761111111118</v>
      </c>
      <c r="C38">
        <f t="shared" si="1"/>
        <v>15</v>
      </c>
      <c r="D38" s="2" t="s">
        <v>37</v>
      </c>
    </row>
    <row r="39" spans="1:5" x14ac:dyDescent="0.25">
      <c r="A39" s="1">
        <f t="shared" si="3"/>
        <v>45675.761111111118</v>
      </c>
      <c r="C39">
        <f t="shared" si="1"/>
        <v>15</v>
      </c>
      <c r="D39" s="2" t="s">
        <v>38</v>
      </c>
    </row>
    <row r="40" spans="1:5" ht="75" x14ac:dyDescent="0.25">
      <c r="A40" s="1">
        <f t="shared" si="3"/>
        <v>45675.761111111118</v>
      </c>
      <c r="C40">
        <f t="shared" si="1"/>
        <v>15</v>
      </c>
      <c r="D40" s="2" t="s">
        <v>40</v>
      </c>
    </row>
    <row r="41" spans="1:5" ht="30" x14ac:dyDescent="0.25">
      <c r="A41" s="1">
        <f t="shared" si="3"/>
        <v>45675.761111111118</v>
      </c>
      <c r="C41">
        <f t="shared" si="1"/>
        <v>15</v>
      </c>
      <c r="D41" s="2" t="s">
        <v>41</v>
      </c>
    </row>
    <row r="42" spans="1:5" x14ac:dyDescent="0.25">
      <c r="A42" s="1">
        <f t="shared" si="3"/>
        <v>45675.761111111118</v>
      </c>
      <c r="C42">
        <f t="shared" si="1"/>
        <v>15</v>
      </c>
      <c r="D42" s="2" t="s">
        <v>42</v>
      </c>
    </row>
    <row r="43" spans="1:5" x14ac:dyDescent="0.25">
      <c r="A43" s="1">
        <f t="shared" si="3"/>
        <v>45675.761111111118</v>
      </c>
      <c r="C43">
        <f t="shared" si="1"/>
        <v>15</v>
      </c>
      <c r="D43" s="2" t="s">
        <v>43</v>
      </c>
    </row>
    <row r="44" spans="1:5" x14ac:dyDescent="0.25">
      <c r="A44" s="1">
        <f t="shared" si="3"/>
        <v>45675.761111111118</v>
      </c>
      <c r="C44">
        <f t="shared" si="1"/>
        <v>15</v>
      </c>
      <c r="D44" s="2" t="s">
        <v>44</v>
      </c>
    </row>
    <row r="45" spans="1:5" x14ac:dyDescent="0.25">
      <c r="A45" s="1">
        <f t="shared" si="3"/>
        <v>45675.761111111118</v>
      </c>
      <c r="C45">
        <f t="shared" si="1"/>
        <v>15</v>
      </c>
      <c r="D45" s="2" t="s">
        <v>45</v>
      </c>
    </row>
    <row r="46" spans="1:5" x14ac:dyDescent="0.25">
      <c r="A46" s="1">
        <f t="shared" si="3"/>
        <v>45675.761111111118</v>
      </c>
      <c r="C46">
        <f t="shared" si="1"/>
        <v>15</v>
      </c>
      <c r="D46" s="2" t="s">
        <v>46</v>
      </c>
    </row>
    <row r="47" spans="1:5" x14ac:dyDescent="0.25">
      <c r="A47" s="1">
        <f t="shared" si="3"/>
        <v>45675.761805555565</v>
      </c>
      <c r="B47">
        <v>1</v>
      </c>
      <c r="C47">
        <f t="shared" si="1"/>
        <v>16</v>
      </c>
      <c r="D47" s="2" t="s">
        <v>47</v>
      </c>
    </row>
    <row r="48" spans="1:5" x14ac:dyDescent="0.25">
      <c r="A48" s="1">
        <f t="shared" si="3"/>
        <v>45675.761805555565</v>
      </c>
      <c r="C48">
        <f t="shared" si="1"/>
        <v>16</v>
      </c>
      <c r="D48" s="2" t="s">
        <v>48</v>
      </c>
    </row>
    <row r="49" spans="1:5" ht="30" x14ac:dyDescent="0.25">
      <c r="A49" s="1">
        <f t="shared" si="3"/>
        <v>45675.761805555565</v>
      </c>
      <c r="C49">
        <f t="shared" si="1"/>
        <v>16</v>
      </c>
      <c r="D49" s="2" t="s">
        <v>49</v>
      </c>
      <c r="E49" t="s">
        <v>112</v>
      </c>
    </row>
    <row r="50" spans="1:5" x14ac:dyDescent="0.25">
      <c r="A50" s="1">
        <f t="shared" si="3"/>
        <v>45675.761805555565</v>
      </c>
      <c r="C50">
        <f t="shared" si="1"/>
        <v>16</v>
      </c>
      <c r="D50" s="2" t="s">
        <v>50</v>
      </c>
    </row>
    <row r="51" spans="1:5" x14ac:dyDescent="0.25">
      <c r="A51" s="1">
        <f t="shared" si="3"/>
        <v>45675.761805555565</v>
      </c>
      <c r="C51">
        <f t="shared" si="1"/>
        <v>16</v>
      </c>
      <c r="D51" s="2" t="s">
        <v>18</v>
      </c>
    </row>
    <row r="52" spans="1:5" x14ac:dyDescent="0.25">
      <c r="A52" s="1">
        <f t="shared" si="3"/>
        <v>45675.761805555565</v>
      </c>
      <c r="C52">
        <f t="shared" si="1"/>
        <v>16</v>
      </c>
      <c r="D52" s="2" t="s">
        <v>51</v>
      </c>
    </row>
    <row r="53" spans="1:5" x14ac:dyDescent="0.25">
      <c r="A53" s="1">
        <f t="shared" si="3"/>
        <v>45675.761805555565</v>
      </c>
      <c r="C53">
        <f t="shared" si="1"/>
        <v>16</v>
      </c>
      <c r="D53" s="2" t="s">
        <v>52</v>
      </c>
    </row>
    <row r="54" spans="1:5" ht="60" x14ac:dyDescent="0.25">
      <c r="A54" s="1">
        <f t="shared" ref="A54:A64" si="4">A53+TIME(0,B54,0)</f>
        <v>45675.761805555565</v>
      </c>
      <c r="C54">
        <f t="shared" ref="C54:C64" si="5">C53+B54</f>
        <v>16</v>
      </c>
      <c r="D54" s="2" t="s">
        <v>53</v>
      </c>
    </row>
    <row r="55" spans="1:5" ht="30" x14ac:dyDescent="0.25">
      <c r="A55" s="1">
        <f t="shared" si="4"/>
        <v>45675.761805555565</v>
      </c>
      <c r="C55">
        <f t="shared" si="5"/>
        <v>16</v>
      </c>
      <c r="D55" s="2" t="s">
        <v>54</v>
      </c>
    </row>
    <row r="56" spans="1:5" x14ac:dyDescent="0.25">
      <c r="A56" s="1">
        <f t="shared" si="4"/>
        <v>45675.761805555565</v>
      </c>
      <c r="C56">
        <f t="shared" si="5"/>
        <v>16</v>
      </c>
      <c r="D56" s="2" t="s">
        <v>55</v>
      </c>
    </row>
    <row r="57" spans="1:5" x14ac:dyDescent="0.25">
      <c r="A57" s="1">
        <f t="shared" si="4"/>
        <v>45675.762500000012</v>
      </c>
      <c r="B57">
        <v>1</v>
      </c>
      <c r="C57">
        <f t="shared" si="5"/>
        <v>17</v>
      </c>
      <c r="D57" s="2" t="s">
        <v>8</v>
      </c>
    </row>
    <row r="58" spans="1:5" x14ac:dyDescent="0.25">
      <c r="A58" s="1">
        <f t="shared" si="4"/>
        <v>45675.762500000012</v>
      </c>
      <c r="C58">
        <f t="shared" si="5"/>
        <v>17</v>
      </c>
      <c r="D58" s="2" t="s">
        <v>56</v>
      </c>
    </row>
    <row r="59" spans="1:5" x14ac:dyDescent="0.25">
      <c r="A59" s="1">
        <f t="shared" si="4"/>
        <v>45675.762500000012</v>
      </c>
      <c r="C59">
        <f t="shared" si="5"/>
        <v>17</v>
      </c>
      <c r="D59" s="2" t="s">
        <v>57</v>
      </c>
    </row>
    <row r="60" spans="1:5" x14ac:dyDescent="0.25">
      <c r="A60" s="1">
        <f t="shared" si="4"/>
        <v>45675.762500000012</v>
      </c>
      <c r="C60">
        <f t="shared" si="5"/>
        <v>17</v>
      </c>
      <c r="D60" s="2" t="s">
        <v>58</v>
      </c>
    </row>
    <row r="61" spans="1:5" x14ac:dyDescent="0.25">
      <c r="A61" s="1">
        <f t="shared" si="4"/>
        <v>45675.762500000012</v>
      </c>
      <c r="C61">
        <f t="shared" si="5"/>
        <v>17</v>
      </c>
      <c r="D61" s="2" t="s">
        <v>18</v>
      </c>
    </row>
    <row r="62" spans="1:5" x14ac:dyDescent="0.25">
      <c r="A62" s="1">
        <f t="shared" si="4"/>
        <v>45675.764583333344</v>
      </c>
      <c r="B62">
        <v>3</v>
      </c>
      <c r="C62">
        <f t="shared" si="5"/>
        <v>20</v>
      </c>
      <c r="D62" s="2" t="s">
        <v>59</v>
      </c>
    </row>
    <row r="63" spans="1:5" x14ac:dyDescent="0.25">
      <c r="A63" s="1">
        <f t="shared" si="4"/>
        <v>45675.764583333344</v>
      </c>
      <c r="C63">
        <f t="shared" si="5"/>
        <v>20</v>
      </c>
      <c r="D63" s="2" t="s">
        <v>60</v>
      </c>
    </row>
    <row r="64" spans="1:5" x14ac:dyDescent="0.25">
      <c r="A64" s="1">
        <f t="shared" si="4"/>
        <v>45675.764583333344</v>
      </c>
      <c r="C64">
        <f t="shared" si="5"/>
        <v>20</v>
      </c>
      <c r="D64" s="2" t="s">
        <v>61</v>
      </c>
    </row>
    <row r="65" spans="1:4" x14ac:dyDescent="0.25">
      <c r="A65" s="1">
        <f t="shared" ref="A65:A68" si="6">A64+TIME(0,B65,0)</f>
        <v>45675.764583333344</v>
      </c>
      <c r="C65">
        <f t="shared" ref="C65:C68" si="7">C64+B65</f>
        <v>20</v>
      </c>
      <c r="D65" s="2" t="s">
        <v>62</v>
      </c>
    </row>
    <row r="66" spans="1:4" ht="45" x14ac:dyDescent="0.25">
      <c r="A66" s="1">
        <f t="shared" si="6"/>
        <v>45675.764583333344</v>
      </c>
      <c r="C66">
        <f t="shared" si="7"/>
        <v>20</v>
      </c>
      <c r="D66" s="2" t="s">
        <v>63</v>
      </c>
    </row>
    <row r="67" spans="1:4" ht="30" x14ac:dyDescent="0.25">
      <c r="A67" s="1">
        <f t="shared" si="6"/>
        <v>45675.764583333344</v>
      </c>
      <c r="C67">
        <f t="shared" si="7"/>
        <v>20</v>
      </c>
      <c r="D67" s="2" t="s">
        <v>64</v>
      </c>
    </row>
    <row r="68" spans="1:4" x14ac:dyDescent="0.25">
      <c r="A68" s="1">
        <f t="shared" si="6"/>
        <v>45675.764583333344</v>
      </c>
      <c r="C68">
        <f t="shared" si="7"/>
        <v>20</v>
      </c>
      <c r="D68" s="2" t="s">
        <v>65</v>
      </c>
    </row>
    <row r="69" spans="1:4" x14ac:dyDescent="0.25">
      <c r="A69" s="1">
        <f t="shared" ref="A69:A125" si="8">A68+TIME(0,B69,0)</f>
        <v>45675.770138888904</v>
      </c>
      <c r="B69">
        <v>8</v>
      </c>
      <c r="C69">
        <f t="shared" ref="C69:C125" si="9">C68+B69</f>
        <v>28</v>
      </c>
      <c r="D69" s="2" t="s">
        <v>66</v>
      </c>
    </row>
    <row r="70" spans="1:4" x14ac:dyDescent="0.25">
      <c r="A70" s="1">
        <f t="shared" si="8"/>
        <v>45675.770138888904</v>
      </c>
      <c r="C70">
        <f t="shared" si="9"/>
        <v>28</v>
      </c>
      <c r="D70" s="2" t="s">
        <v>67</v>
      </c>
    </row>
    <row r="71" spans="1:4" ht="30" x14ac:dyDescent="0.25">
      <c r="A71" s="1">
        <f t="shared" si="8"/>
        <v>45675.770138888904</v>
      </c>
      <c r="C71">
        <f t="shared" si="9"/>
        <v>28</v>
      </c>
      <c r="D71" s="2" t="s">
        <v>68</v>
      </c>
    </row>
    <row r="72" spans="1:4" ht="30" x14ac:dyDescent="0.25">
      <c r="A72" s="1">
        <f t="shared" si="8"/>
        <v>45675.770138888904</v>
      </c>
      <c r="C72">
        <f t="shared" si="9"/>
        <v>28</v>
      </c>
      <c r="D72" s="2" t="s">
        <v>68</v>
      </c>
    </row>
    <row r="73" spans="1:4" x14ac:dyDescent="0.25">
      <c r="A73" s="1">
        <f t="shared" si="8"/>
        <v>45675.770138888904</v>
      </c>
      <c r="C73">
        <f t="shared" si="9"/>
        <v>28</v>
      </c>
      <c r="D73" s="2" t="s">
        <v>18</v>
      </c>
    </row>
    <row r="74" spans="1:4" ht="45" x14ac:dyDescent="0.25">
      <c r="A74" s="1">
        <f t="shared" si="8"/>
        <v>45675.77083333335</v>
      </c>
      <c r="B74">
        <v>1</v>
      </c>
      <c r="C74">
        <f t="shared" si="9"/>
        <v>29</v>
      </c>
      <c r="D74" s="2" t="s">
        <v>69</v>
      </c>
    </row>
    <row r="75" spans="1:4" ht="90" x14ac:dyDescent="0.25">
      <c r="A75" s="1">
        <f t="shared" si="8"/>
        <v>45675.77083333335</v>
      </c>
      <c r="C75">
        <f t="shared" si="9"/>
        <v>29</v>
      </c>
      <c r="D75" s="2" t="s">
        <v>70</v>
      </c>
    </row>
    <row r="76" spans="1:4" x14ac:dyDescent="0.25">
      <c r="A76" s="1">
        <f t="shared" si="8"/>
        <v>45675.77083333335</v>
      </c>
      <c r="C76">
        <f t="shared" si="9"/>
        <v>29</v>
      </c>
      <c r="D76" s="2" t="s">
        <v>71</v>
      </c>
    </row>
    <row r="77" spans="1:4" ht="60" x14ac:dyDescent="0.25">
      <c r="A77" s="1">
        <f t="shared" si="8"/>
        <v>45675.77083333335</v>
      </c>
      <c r="C77">
        <f t="shared" si="9"/>
        <v>29</v>
      </c>
      <c r="D77" s="2" t="s">
        <v>73</v>
      </c>
    </row>
    <row r="78" spans="1:4" x14ac:dyDescent="0.25">
      <c r="A78" s="1">
        <f t="shared" si="8"/>
        <v>45675.77083333335</v>
      </c>
      <c r="C78">
        <f t="shared" si="9"/>
        <v>29</v>
      </c>
      <c r="D78" s="2" t="s">
        <v>72</v>
      </c>
    </row>
    <row r="79" spans="1:4" ht="45" x14ac:dyDescent="0.25">
      <c r="A79" s="1">
        <f t="shared" si="8"/>
        <v>45675.77083333335</v>
      </c>
      <c r="C79">
        <f t="shared" si="9"/>
        <v>29</v>
      </c>
      <c r="D79" s="2" t="s">
        <v>74</v>
      </c>
    </row>
    <row r="80" spans="1:4" x14ac:dyDescent="0.25">
      <c r="A80" s="1">
        <f t="shared" si="8"/>
        <v>45675.77083333335</v>
      </c>
      <c r="C80">
        <f t="shared" si="9"/>
        <v>29</v>
      </c>
      <c r="D80" s="2" t="s">
        <v>75</v>
      </c>
    </row>
    <row r="81" spans="1:4" ht="45" x14ac:dyDescent="0.25">
      <c r="A81" s="1">
        <f t="shared" si="8"/>
        <v>45675.77083333335</v>
      </c>
      <c r="C81">
        <f t="shared" si="9"/>
        <v>29</v>
      </c>
      <c r="D81" s="2" t="s">
        <v>76</v>
      </c>
    </row>
    <row r="82" spans="1:4" x14ac:dyDescent="0.25">
      <c r="A82" s="1">
        <f t="shared" si="8"/>
        <v>45675.77083333335</v>
      </c>
      <c r="C82">
        <f t="shared" si="9"/>
        <v>29</v>
      </c>
      <c r="D82" s="2" t="s">
        <v>77</v>
      </c>
    </row>
    <row r="83" spans="1:4" ht="30" x14ac:dyDescent="0.25">
      <c r="A83" s="1">
        <f t="shared" si="8"/>
        <v>45675.77083333335</v>
      </c>
      <c r="C83">
        <f t="shared" si="9"/>
        <v>29</v>
      </c>
      <c r="D83" s="2" t="s">
        <v>78</v>
      </c>
    </row>
    <row r="84" spans="1:4" x14ac:dyDescent="0.25">
      <c r="A84" s="1">
        <f t="shared" si="8"/>
        <v>45675.77083333335</v>
      </c>
      <c r="C84">
        <f t="shared" si="9"/>
        <v>29</v>
      </c>
      <c r="D84" s="2" t="s">
        <v>79</v>
      </c>
    </row>
    <row r="85" spans="1:4" x14ac:dyDescent="0.25">
      <c r="A85" s="1">
        <f t="shared" si="8"/>
        <v>45675.77083333335</v>
      </c>
      <c r="C85">
        <f t="shared" si="9"/>
        <v>29</v>
      </c>
      <c r="D85" s="2" t="s">
        <v>80</v>
      </c>
    </row>
    <row r="86" spans="1:4" x14ac:dyDescent="0.25">
      <c r="A86" s="1">
        <f t="shared" si="8"/>
        <v>45675.77083333335</v>
      </c>
      <c r="C86">
        <f t="shared" si="9"/>
        <v>29</v>
      </c>
      <c r="D86" s="2" t="s">
        <v>81</v>
      </c>
    </row>
    <row r="87" spans="1:4" x14ac:dyDescent="0.25">
      <c r="A87" s="1">
        <f t="shared" si="8"/>
        <v>45675.77083333335</v>
      </c>
      <c r="C87">
        <f t="shared" si="9"/>
        <v>29</v>
      </c>
      <c r="D87" s="2" t="s">
        <v>82</v>
      </c>
    </row>
    <row r="88" spans="1:4" x14ac:dyDescent="0.25">
      <c r="A88" s="1">
        <f t="shared" si="8"/>
        <v>45675.77083333335</v>
      </c>
      <c r="C88">
        <f t="shared" si="9"/>
        <v>29</v>
      </c>
      <c r="D88" s="2" t="s">
        <v>81</v>
      </c>
    </row>
    <row r="89" spans="1:4" x14ac:dyDescent="0.25">
      <c r="A89" s="1">
        <f t="shared" si="8"/>
        <v>45675.77083333335</v>
      </c>
      <c r="C89">
        <f t="shared" si="9"/>
        <v>29</v>
      </c>
      <c r="D89" s="2" t="s">
        <v>83</v>
      </c>
    </row>
    <row r="90" spans="1:4" ht="75" x14ac:dyDescent="0.25">
      <c r="A90" s="1">
        <f t="shared" si="8"/>
        <v>45675.77083333335</v>
      </c>
      <c r="C90">
        <f t="shared" si="9"/>
        <v>29</v>
      </c>
      <c r="D90" s="2" t="s">
        <v>84</v>
      </c>
    </row>
    <row r="91" spans="1:4" x14ac:dyDescent="0.25">
      <c r="A91" s="1">
        <f t="shared" si="8"/>
        <v>45675.77083333335</v>
      </c>
      <c r="C91">
        <f t="shared" si="9"/>
        <v>29</v>
      </c>
      <c r="D91" s="2" t="s">
        <v>85</v>
      </c>
    </row>
    <row r="92" spans="1:4" x14ac:dyDescent="0.25">
      <c r="A92" s="1">
        <f t="shared" si="8"/>
        <v>45675.77083333335</v>
      </c>
      <c r="C92">
        <f t="shared" si="9"/>
        <v>29</v>
      </c>
      <c r="D92" s="2" t="s">
        <v>86</v>
      </c>
    </row>
    <row r="93" spans="1:4" x14ac:dyDescent="0.25">
      <c r="A93" s="1">
        <f t="shared" si="8"/>
        <v>45675.77083333335</v>
      </c>
      <c r="C93">
        <f t="shared" si="9"/>
        <v>29</v>
      </c>
      <c r="D93" s="2" t="s">
        <v>87</v>
      </c>
    </row>
    <row r="94" spans="1:4" x14ac:dyDescent="0.25">
      <c r="A94" s="1">
        <f t="shared" si="8"/>
        <v>45675.779166666682</v>
      </c>
      <c r="B94">
        <v>12</v>
      </c>
      <c r="C94">
        <f t="shared" si="9"/>
        <v>41</v>
      </c>
      <c r="D94" s="2" t="s">
        <v>88</v>
      </c>
    </row>
    <row r="95" spans="1:4" x14ac:dyDescent="0.25">
      <c r="A95" s="1">
        <f t="shared" si="8"/>
        <v>45675.781250000015</v>
      </c>
      <c r="B95">
        <v>3</v>
      </c>
      <c r="C95">
        <f t="shared" si="9"/>
        <v>44</v>
      </c>
      <c r="D95" s="2" t="s">
        <v>92</v>
      </c>
    </row>
    <row r="96" spans="1:4" x14ac:dyDescent="0.25">
      <c r="A96" s="1">
        <f t="shared" si="8"/>
        <v>45675.78819444446</v>
      </c>
      <c r="B96">
        <v>10</v>
      </c>
      <c r="C96">
        <f t="shared" si="9"/>
        <v>54</v>
      </c>
      <c r="D96" s="2" t="s">
        <v>61</v>
      </c>
    </row>
    <row r="97" spans="1:4" x14ac:dyDescent="0.25">
      <c r="A97" s="1">
        <f t="shared" si="8"/>
        <v>45675.78819444446</v>
      </c>
      <c r="C97">
        <f t="shared" si="9"/>
        <v>54</v>
      </c>
      <c r="D97" s="2" t="s">
        <v>62</v>
      </c>
    </row>
    <row r="98" spans="1:4" ht="30" x14ac:dyDescent="0.25">
      <c r="A98" s="1">
        <f t="shared" si="8"/>
        <v>45675.78819444446</v>
      </c>
      <c r="C98">
        <f t="shared" si="9"/>
        <v>54</v>
      </c>
      <c r="D98" s="2" t="s">
        <v>89</v>
      </c>
    </row>
    <row r="99" spans="1:4" x14ac:dyDescent="0.25">
      <c r="A99" s="1">
        <f t="shared" si="8"/>
        <v>45675.78819444446</v>
      </c>
      <c r="C99">
        <f t="shared" si="9"/>
        <v>54</v>
      </c>
      <c r="D99" s="2" t="s">
        <v>90</v>
      </c>
    </row>
    <row r="100" spans="1:4" x14ac:dyDescent="0.25">
      <c r="A100" s="1">
        <f t="shared" si="8"/>
        <v>45675.78819444446</v>
      </c>
      <c r="C100">
        <f t="shared" si="9"/>
        <v>54</v>
      </c>
      <c r="D100" s="2" t="s">
        <v>91</v>
      </c>
    </row>
    <row r="101" spans="1:4" x14ac:dyDescent="0.25">
      <c r="A101" s="1">
        <f t="shared" si="8"/>
        <v>45675.790277777793</v>
      </c>
      <c r="B101">
        <v>3</v>
      </c>
      <c r="C101">
        <f t="shared" si="9"/>
        <v>57</v>
      </c>
      <c r="D101" s="2" t="s">
        <v>93</v>
      </c>
    </row>
    <row r="102" spans="1:4" x14ac:dyDescent="0.25">
      <c r="A102" s="1">
        <f t="shared" si="8"/>
        <v>45675.791666666679</v>
      </c>
      <c r="B102">
        <v>2</v>
      </c>
      <c r="C102">
        <f t="shared" si="9"/>
        <v>59</v>
      </c>
      <c r="D102" s="2" t="s">
        <v>94</v>
      </c>
    </row>
    <row r="103" spans="1:4" x14ac:dyDescent="0.25">
      <c r="A103" s="1">
        <f t="shared" si="8"/>
        <v>45675.791666666679</v>
      </c>
      <c r="C103">
        <f t="shared" si="9"/>
        <v>59</v>
      </c>
      <c r="D103" s="2" t="s">
        <v>95</v>
      </c>
    </row>
    <row r="104" spans="1:4" x14ac:dyDescent="0.25">
      <c r="A104" s="1">
        <f t="shared" si="8"/>
        <v>45675.792361111126</v>
      </c>
      <c r="B104">
        <v>1</v>
      </c>
      <c r="C104">
        <f t="shared" si="9"/>
        <v>60</v>
      </c>
      <c r="D104" s="2" t="s">
        <v>101</v>
      </c>
    </row>
    <row r="105" spans="1:4" x14ac:dyDescent="0.25">
      <c r="A105" s="1">
        <f t="shared" si="8"/>
        <v>45675.792361111126</v>
      </c>
      <c r="C105">
        <f t="shared" si="9"/>
        <v>60</v>
      </c>
      <c r="D105" s="2" t="s">
        <v>102</v>
      </c>
    </row>
    <row r="106" spans="1:4" x14ac:dyDescent="0.25">
      <c r="A106" s="1">
        <f t="shared" si="8"/>
        <v>45675.792361111126</v>
      </c>
      <c r="C106">
        <f t="shared" si="9"/>
        <v>60</v>
      </c>
      <c r="D106" s="2" t="s">
        <v>103</v>
      </c>
    </row>
    <row r="107" spans="1:4" x14ac:dyDescent="0.25">
      <c r="A107" s="1">
        <f t="shared" si="8"/>
        <v>45675.792361111126</v>
      </c>
      <c r="C107">
        <f t="shared" si="9"/>
        <v>60</v>
      </c>
      <c r="D107" s="2" t="s">
        <v>104</v>
      </c>
    </row>
    <row r="108" spans="1:4" x14ac:dyDescent="0.25">
      <c r="A108" s="1">
        <f t="shared" si="8"/>
        <v>45675.792361111126</v>
      </c>
      <c r="C108">
        <f t="shared" si="9"/>
        <v>60</v>
      </c>
      <c r="D108" s="2" t="s">
        <v>47</v>
      </c>
    </row>
    <row r="109" spans="1:4" x14ac:dyDescent="0.25">
      <c r="A109" s="1">
        <f t="shared" si="8"/>
        <v>45675.792361111126</v>
      </c>
      <c r="C109">
        <f t="shared" si="9"/>
        <v>60</v>
      </c>
      <c r="D109" s="2" t="s">
        <v>96</v>
      </c>
    </row>
    <row r="110" spans="1:4" ht="30" x14ac:dyDescent="0.25">
      <c r="A110" s="1">
        <f t="shared" si="8"/>
        <v>45675.792361111126</v>
      </c>
      <c r="C110">
        <f t="shared" si="9"/>
        <v>60</v>
      </c>
      <c r="D110" s="2" t="s">
        <v>97</v>
      </c>
    </row>
    <row r="111" spans="1:4" x14ac:dyDescent="0.25">
      <c r="A111" s="1">
        <f t="shared" si="8"/>
        <v>45675.792361111126</v>
      </c>
      <c r="C111">
        <f t="shared" si="9"/>
        <v>60</v>
      </c>
      <c r="D111" s="2" t="s">
        <v>98</v>
      </c>
    </row>
    <row r="112" spans="1:4" x14ac:dyDescent="0.25">
      <c r="A112" s="1">
        <f t="shared" si="8"/>
        <v>45675.792361111126</v>
      </c>
      <c r="C112">
        <f t="shared" si="9"/>
        <v>60</v>
      </c>
      <c r="D112" s="2" t="s">
        <v>91</v>
      </c>
    </row>
    <row r="113" spans="1:4" x14ac:dyDescent="0.25">
      <c r="A113" s="1">
        <f t="shared" si="8"/>
        <v>45675.797222222238</v>
      </c>
      <c r="B113">
        <v>7</v>
      </c>
      <c r="C113">
        <f t="shared" si="9"/>
        <v>67</v>
      </c>
      <c r="D113" s="2" t="s">
        <v>99</v>
      </c>
    </row>
    <row r="114" spans="1:4" x14ac:dyDescent="0.25">
      <c r="A114" s="1">
        <f t="shared" si="8"/>
        <v>45675.799305555571</v>
      </c>
      <c r="B114">
        <v>3</v>
      </c>
      <c r="C114">
        <f t="shared" si="9"/>
        <v>70</v>
      </c>
      <c r="D114" s="2" t="s">
        <v>100</v>
      </c>
    </row>
    <row r="115" spans="1:4" x14ac:dyDescent="0.25">
      <c r="A115" s="1">
        <f t="shared" si="8"/>
        <v>45675.800694444457</v>
      </c>
      <c r="B115">
        <v>2</v>
      </c>
      <c r="C115">
        <f t="shared" si="9"/>
        <v>72</v>
      </c>
      <c r="D115" s="2" t="s">
        <v>105</v>
      </c>
    </row>
    <row r="116" spans="1:4" x14ac:dyDescent="0.25">
      <c r="A116" s="1">
        <f t="shared" si="8"/>
        <v>45675.800694444457</v>
      </c>
      <c r="B116">
        <v>0</v>
      </c>
      <c r="C116">
        <f t="shared" si="9"/>
        <v>72</v>
      </c>
      <c r="D116" s="2" t="s">
        <v>106</v>
      </c>
    </row>
    <row r="117" spans="1:4" x14ac:dyDescent="0.25">
      <c r="A117" s="1">
        <f t="shared" si="8"/>
        <v>45675.804166666676</v>
      </c>
      <c r="B117">
        <v>5</v>
      </c>
      <c r="C117">
        <f t="shared" si="9"/>
        <v>77</v>
      </c>
      <c r="D117" s="2" t="s">
        <v>107</v>
      </c>
    </row>
    <row r="118" spans="1:4" x14ac:dyDescent="0.25">
      <c r="A118" s="1"/>
    </row>
    <row r="119" spans="1:4" x14ac:dyDescent="0.25">
      <c r="A119" s="1"/>
    </row>
    <row r="120" spans="1:4" x14ac:dyDescent="0.25">
      <c r="A120" s="1"/>
    </row>
    <row r="121" spans="1:4" x14ac:dyDescent="0.25">
      <c r="A121" s="1"/>
    </row>
    <row r="122" spans="1:4" x14ac:dyDescent="0.25">
      <c r="A122" s="1"/>
    </row>
    <row r="123" spans="1:4" x14ac:dyDescent="0.25">
      <c r="A123" s="1"/>
    </row>
    <row r="124" spans="1:4" x14ac:dyDescent="0.25">
      <c r="A124" s="1"/>
    </row>
    <row r="125" spans="1:4" x14ac:dyDescent="0.25">
      <c r="A125" s="1"/>
    </row>
  </sheetData>
  <phoneticPr fontId="1" type="noConversion"/>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Brand Wohnung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Roland Brunner</dc:creator>
  <cp:lastModifiedBy>Roland Brunner</cp:lastModifiedBy>
  <dcterms:created xsi:type="dcterms:W3CDTF">2025-12-31T15:41:44Z</dcterms:created>
  <dcterms:modified xsi:type="dcterms:W3CDTF">2026-01-01T12:51:02Z</dcterms:modified>
</cp:coreProperties>
</file>